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omsimson/Downloads/"/>
    </mc:Choice>
  </mc:AlternateContent>
  <xr:revisionPtr revIDLastSave="0" documentId="13_ncr:1_{6698491B-F685-C644-9AC6-E36EDB66C825}" xr6:coauthVersionLast="47" xr6:coauthVersionMax="47" xr10:uidLastSave="{00000000-0000-0000-0000-000000000000}"/>
  <bookViews>
    <workbookView xWindow="35340" yWindow="2880" windowWidth="34200" windowHeight="22140" xr2:uid="{00000000-000D-0000-FFFF-FFFF00000000}"/>
  </bookViews>
  <sheets>
    <sheet name="Marketing Sp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K21" i="1"/>
  <c r="J21" i="1"/>
  <c r="I21" i="1"/>
  <c r="N20" i="1"/>
  <c r="M18" i="1"/>
  <c r="J18" i="1"/>
  <c r="I18" i="1"/>
  <c r="C18" i="1"/>
  <c r="N17" i="1"/>
  <c r="N16" i="1"/>
  <c r="N14" i="1"/>
  <c r="N13" i="1"/>
  <c r="N12" i="1"/>
  <c r="N11" i="1"/>
  <c r="M9" i="1"/>
  <c r="L9" i="1"/>
  <c r="L21" i="1" s="1"/>
  <c r="K9" i="1"/>
  <c r="K18" i="1" s="1"/>
  <c r="J9" i="1"/>
  <c r="I9" i="1"/>
  <c r="H9" i="1"/>
  <c r="H18" i="1" s="1"/>
  <c r="G9" i="1"/>
  <c r="G21" i="1" s="1"/>
  <c r="F9" i="1"/>
  <c r="F18" i="1" s="1"/>
  <c r="E9" i="1"/>
  <c r="E18" i="1" s="1"/>
  <c r="D9" i="1"/>
  <c r="D21" i="1" s="1"/>
  <c r="C9" i="1"/>
  <c r="C21" i="1" s="1"/>
  <c r="B9" i="1"/>
  <c r="N8" i="1"/>
  <c r="N7" i="1"/>
  <c r="N6" i="1"/>
  <c r="G18" i="1" l="1"/>
  <c r="E21" i="1"/>
  <c r="D18" i="1"/>
  <c r="N9" i="1"/>
  <c r="N21" i="1" s="1"/>
  <c r="F21" i="1"/>
  <c r="B18" i="1"/>
  <c r="L18" i="1"/>
  <c r="H21" i="1"/>
  <c r="B21" i="1"/>
  <c r="N18" i="1" l="1"/>
</calcChain>
</file>

<file path=xl/sharedStrings.xml><?xml version="1.0" encoding="utf-8"?>
<sst xmlns="http://schemas.openxmlformats.org/spreadsheetml/2006/main" count="40" uniqueCount="40">
  <si>
    <t>Fitwell — Monthly Marketing Spend Breakdown (v2, live formulas)</t>
  </si>
  <si>
    <t>Blue/plain cells are inputs — change them and totals + ROAS recalculate. Excludes ~$55k/mo salaries &amp; operations.</t>
  </si>
  <si>
    <t>Line item</t>
  </si>
  <si>
    <t>Jul '26</t>
  </si>
  <si>
    <t>Aug</t>
  </si>
  <si>
    <t>Sep</t>
  </si>
  <si>
    <t>Oct</t>
  </si>
  <si>
    <t>Nov</t>
  </si>
  <si>
    <t>Dec</t>
  </si>
  <si>
    <t>Jan '27</t>
  </si>
  <si>
    <t>Feb</t>
  </si>
  <si>
    <t>Mar</t>
  </si>
  <si>
    <t>Apr</t>
  </si>
  <si>
    <t>May</t>
  </si>
  <si>
    <t>Jun</t>
  </si>
  <si>
    <t>Total</t>
  </si>
  <si>
    <t>PAID ADS  (scale with results)</t>
  </si>
  <si>
    <t>Meta / TikTok</t>
  </si>
  <si>
    <t>Google / YouTube</t>
  </si>
  <si>
    <t>Performance Max</t>
  </si>
  <si>
    <t>Total paid ads</t>
  </si>
  <si>
    <t>PEOPLE &amp; PRODUCTION</t>
  </si>
  <si>
    <t>Content (blitz + ongoing edit)</t>
  </si>
  <si>
    <t>Social &amp; email (Lucas)</t>
  </si>
  <si>
    <t>Marketing ops / enthusiast (integrator)</t>
  </si>
  <si>
    <t>Ops VA (maybe)</t>
  </si>
  <si>
    <t>TOOLS &amp; ONE-OFFS</t>
  </si>
  <si>
    <t>Tools / software</t>
  </si>
  <si>
    <t>Shopify audit (one-time)</t>
  </si>
  <si>
    <t>TOTAL MARKETING SPEND</t>
  </si>
  <si>
    <t>FOR CONTEXT</t>
  </si>
  <si>
    <t>Online sales (DTC) — revenue</t>
  </si>
  <si>
    <t>Blended return on paid ads</t>
  </si>
  <si>
    <t>Notes:</t>
  </si>
  <si>
    <t>• July: content-build month — light Meta/TikTok testing only, no Google/YouTube.</t>
  </si>
  <si>
    <t>• Google/YouTube and Performance Max begin in August and scale as they prove out (kill if returning &lt;~$20k; scale if 3x+).</t>
  </si>
  <si>
    <t>• 'Blended return on paid ads' = online sales / total paid ads. July reads high only because the test budget is tiny vs. existing organic sales.</t>
  </si>
  <si>
    <t>• Integrator = the marketing ops/enthusiast — one part-time role (~$6k/mo). Change the rate and it flows through.</t>
  </si>
  <si>
    <t>• If a paid channel scales because it's working, raise the Online sales row to match — otherwise ROAS drifts down.</t>
  </si>
  <si>
    <t>• Excludes ~$55k/mo fixed company burn (founder salaries + operations).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</si>
</sst>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&quot;x&quot;"/>
  </numFmts>
  <fonts count="8" x14ac:knownFonts="1">
    <font>
      <sz val="11"/>
      <color theme="1"/>
      <name val="Calibri"/>
      <family val="2"/>
      <scheme val="minor"/>
    </font>
    <font>
      <b/>
      <sz val="14"/>
      <color rgb="FF1A1F2B"/>
      <name val="Calibri"/>
      <family val="2"/>
    </font>
    <font>
      <i/>
      <sz val="10"/>
      <color rgb="FF6B707B"/>
      <name val="Calibri"/>
      <family val="2"/>
    </font>
    <font>
      <b/>
      <sz val="11"/>
      <color rgb="FFFFFFFF"/>
      <name val="Calibri"/>
      <family val="2"/>
    </font>
    <font>
      <b/>
      <sz val="10"/>
      <color rgb="FF1A1F2B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3373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F2B"/>
      </patternFill>
    </fill>
    <fill>
      <patternFill patternType="solid">
        <fgColor rgb="FFB08D57"/>
      </patternFill>
    </fill>
    <fill>
      <patternFill patternType="solid">
        <fgColor rgb="FFE7E2D8"/>
      </patternFill>
    </fill>
    <fill>
      <patternFill patternType="solid">
        <fgColor rgb="FFF5F3E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4" borderId="1" xfId="0" applyFill="1" applyBorder="1"/>
    <xf numFmtId="0" fontId="5" fillId="0" borderId="1" xfId="0" applyFont="1" applyBorder="1"/>
    <xf numFmtId="16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5" fillId="5" borderId="1" xfId="0" applyFont="1" applyFill="1" applyBorder="1"/>
    <xf numFmtId="164" fontId="0" fillId="5" borderId="1" xfId="0" applyNumberForma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165" fontId="0" fillId="5" borderId="1" xfId="0" applyNumberForma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G9" sqref="G9"/>
    </sheetView>
  </sheetViews>
  <sheetFormatPr baseColWidth="10" defaultColWidth="8.83203125" defaultRowHeight="15" x14ac:dyDescent="0.2"/>
  <cols>
    <col min="1" max="1" width="38" customWidth="1"/>
    <col min="2" max="13" width="9.5" customWidth="1"/>
    <col min="14" max="14" width="11" customWidth="1"/>
  </cols>
  <sheetData>
    <row r="1" spans="1:14" ht="19" customHeight="1" x14ac:dyDescent="0.25">
      <c r="A1" s="1" t="s">
        <v>0</v>
      </c>
    </row>
    <row r="2" spans="1:14" x14ac:dyDescent="0.2">
      <c r="A2" s="2" t="s">
        <v>1</v>
      </c>
    </row>
    <row r="4" spans="1:14" x14ac:dyDescent="0.2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</row>
    <row r="5" spans="1:14" x14ac:dyDescent="0.2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">
      <c r="A6" s="8" t="s">
        <v>17</v>
      </c>
      <c r="B6" s="9">
        <v>3200</v>
      </c>
      <c r="C6" s="9">
        <v>5000</v>
      </c>
      <c r="D6" s="9">
        <v>8000</v>
      </c>
      <c r="E6" s="9">
        <v>11000</v>
      </c>
      <c r="F6" s="9">
        <v>12000</v>
      </c>
      <c r="G6" s="9">
        <v>13000</v>
      </c>
      <c r="H6" s="9">
        <v>13000</v>
      </c>
      <c r="I6" s="9">
        <v>14000</v>
      </c>
      <c r="J6" s="9">
        <v>15000</v>
      </c>
      <c r="K6" s="9">
        <v>16000</v>
      </c>
      <c r="L6" s="9">
        <v>17000</v>
      </c>
      <c r="M6" s="9">
        <v>17000</v>
      </c>
      <c r="N6" s="10">
        <f>SUM(B6:M6)</f>
        <v>144200</v>
      </c>
    </row>
    <row r="7" spans="1:14" x14ac:dyDescent="0.2">
      <c r="A7" s="11" t="s">
        <v>18</v>
      </c>
      <c r="B7" s="12">
        <v>0</v>
      </c>
      <c r="C7" s="12">
        <v>7000</v>
      </c>
      <c r="D7" s="12">
        <v>7000</v>
      </c>
      <c r="E7" s="12">
        <v>8000</v>
      </c>
      <c r="F7" s="12">
        <v>10000</v>
      </c>
      <c r="G7" s="12">
        <v>12000</v>
      </c>
      <c r="H7" s="12">
        <v>13000</v>
      </c>
      <c r="I7" s="12">
        <v>14000</v>
      </c>
      <c r="J7" s="12">
        <v>15000</v>
      </c>
      <c r="K7" s="12">
        <v>16000</v>
      </c>
      <c r="L7" s="12">
        <v>17000</v>
      </c>
      <c r="M7" s="12">
        <v>18000</v>
      </c>
      <c r="N7" s="13">
        <f>SUM(B7:M7)</f>
        <v>137000</v>
      </c>
    </row>
    <row r="8" spans="1:14" x14ac:dyDescent="0.2">
      <c r="A8" s="8" t="s">
        <v>19</v>
      </c>
      <c r="B8" s="9">
        <v>500</v>
      </c>
      <c r="C8" s="9">
        <v>2000</v>
      </c>
      <c r="D8" s="9">
        <v>2500</v>
      </c>
      <c r="E8" s="9">
        <v>3000</v>
      </c>
      <c r="F8" s="9">
        <v>3000</v>
      </c>
      <c r="G8" s="9">
        <v>3500</v>
      </c>
      <c r="H8" s="9">
        <v>4000</v>
      </c>
      <c r="I8" s="9">
        <v>4000</v>
      </c>
      <c r="J8" s="9">
        <v>5000</v>
      </c>
      <c r="K8" s="9">
        <v>5000</v>
      </c>
      <c r="L8" s="9">
        <v>6000</v>
      </c>
      <c r="M8" s="9">
        <v>6000</v>
      </c>
      <c r="N8" s="10">
        <f>SUM(B8:M8)</f>
        <v>44500</v>
      </c>
    </row>
    <row r="9" spans="1:14" x14ac:dyDescent="0.2">
      <c r="A9" s="14" t="s">
        <v>20</v>
      </c>
      <c r="B9" s="15">
        <f t="shared" ref="B9:M9" si="0">SUM(B6:B8)</f>
        <v>3700</v>
      </c>
      <c r="C9" s="15">
        <f t="shared" si="0"/>
        <v>14000</v>
      </c>
      <c r="D9" s="15">
        <f t="shared" si="0"/>
        <v>17500</v>
      </c>
      <c r="E9" s="15">
        <f t="shared" si="0"/>
        <v>22000</v>
      </c>
      <c r="F9" s="15">
        <f t="shared" si="0"/>
        <v>25000</v>
      </c>
      <c r="G9" s="15">
        <f t="shared" si="0"/>
        <v>28500</v>
      </c>
      <c r="H9" s="15">
        <f t="shared" si="0"/>
        <v>30000</v>
      </c>
      <c r="I9" s="15">
        <f t="shared" si="0"/>
        <v>32000</v>
      </c>
      <c r="J9" s="15">
        <f t="shared" si="0"/>
        <v>35000</v>
      </c>
      <c r="K9" s="15">
        <f t="shared" si="0"/>
        <v>37000</v>
      </c>
      <c r="L9" s="15">
        <f t="shared" si="0"/>
        <v>40000</v>
      </c>
      <c r="M9" s="15">
        <f t="shared" si="0"/>
        <v>41000</v>
      </c>
      <c r="N9" s="15">
        <f>SUM(B9:M9)</f>
        <v>325700</v>
      </c>
    </row>
    <row r="10" spans="1:14" x14ac:dyDescent="0.2">
      <c r="A10" s="6" t="s">
        <v>21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">
      <c r="A11" s="11" t="s">
        <v>22</v>
      </c>
      <c r="B11" s="12">
        <v>5000</v>
      </c>
      <c r="C11" s="12">
        <v>2000</v>
      </c>
      <c r="D11" s="12">
        <v>2000</v>
      </c>
      <c r="E11" s="12">
        <v>2000</v>
      </c>
      <c r="F11" s="12">
        <v>2000</v>
      </c>
      <c r="G11" s="12">
        <v>2000</v>
      </c>
      <c r="H11" s="12">
        <v>2500</v>
      </c>
      <c r="I11" s="12">
        <v>2500</v>
      </c>
      <c r="J11" s="12">
        <v>2500</v>
      </c>
      <c r="K11" s="12">
        <v>2500</v>
      </c>
      <c r="L11" s="12">
        <v>2500</v>
      </c>
      <c r="M11" s="12">
        <v>2500</v>
      </c>
      <c r="N11" s="13">
        <f>SUM(B11:M11)</f>
        <v>30000</v>
      </c>
    </row>
    <row r="12" spans="1:14" x14ac:dyDescent="0.2">
      <c r="A12" s="8" t="s">
        <v>23</v>
      </c>
      <c r="B12" s="9">
        <v>2000</v>
      </c>
      <c r="C12" s="9">
        <v>3000</v>
      </c>
      <c r="D12" s="9">
        <v>4000</v>
      </c>
      <c r="E12" s="9">
        <v>4000</v>
      </c>
      <c r="F12" s="9">
        <v>4000</v>
      </c>
      <c r="G12" s="9">
        <v>4000</v>
      </c>
      <c r="H12" s="9">
        <v>4000</v>
      </c>
      <c r="I12" s="9">
        <v>4000</v>
      </c>
      <c r="J12" s="9">
        <v>4000</v>
      </c>
      <c r="K12" s="9">
        <v>4000</v>
      </c>
      <c r="L12" s="9">
        <v>4000</v>
      </c>
      <c r="M12" s="9">
        <v>4000</v>
      </c>
      <c r="N12" s="10">
        <f>SUM(B12:M12)</f>
        <v>45000</v>
      </c>
    </row>
    <row r="13" spans="1:14" x14ac:dyDescent="0.2">
      <c r="A13" s="11" t="s">
        <v>24</v>
      </c>
      <c r="B13" s="12">
        <v>2000</v>
      </c>
      <c r="C13" s="12">
        <v>4000</v>
      </c>
      <c r="D13" s="12">
        <v>4000</v>
      </c>
      <c r="E13" s="12">
        <v>6000</v>
      </c>
      <c r="F13" s="12">
        <v>6000</v>
      </c>
      <c r="G13" s="12">
        <v>6000</v>
      </c>
      <c r="H13" s="12">
        <v>6000</v>
      </c>
      <c r="I13" s="12">
        <v>6000</v>
      </c>
      <c r="J13" s="12">
        <v>6000</v>
      </c>
      <c r="K13" s="12">
        <v>6000</v>
      </c>
      <c r="L13" s="12">
        <v>6000</v>
      </c>
      <c r="M13" s="12">
        <v>6000</v>
      </c>
      <c r="N13" s="13">
        <f>SUM(B13:M13)</f>
        <v>64000</v>
      </c>
    </row>
    <row r="14" spans="1:14" x14ac:dyDescent="0.2">
      <c r="A14" s="8" t="s">
        <v>25</v>
      </c>
      <c r="B14" s="9">
        <v>1250</v>
      </c>
      <c r="C14" s="9">
        <v>1250</v>
      </c>
      <c r="D14" s="9">
        <v>1250</v>
      </c>
      <c r="E14" s="9">
        <v>1250</v>
      </c>
      <c r="F14" s="9">
        <v>1250</v>
      </c>
      <c r="G14" s="9">
        <v>1250</v>
      </c>
      <c r="H14" s="9">
        <v>1250</v>
      </c>
      <c r="I14" s="9">
        <v>1250</v>
      </c>
      <c r="J14" s="9">
        <v>1250</v>
      </c>
      <c r="K14" s="9">
        <v>1250</v>
      </c>
      <c r="L14" s="9">
        <v>1250</v>
      </c>
      <c r="M14" s="9">
        <v>1250</v>
      </c>
      <c r="N14" s="10">
        <f>SUM(B14:M14)</f>
        <v>15000</v>
      </c>
    </row>
    <row r="15" spans="1:14" x14ac:dyDescent="0.2">
      <c r="A15" s="6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">
      <c r="A16" s="8" t="s">
        <v>27</v>
      </c>
      <c r="B16" s="9">
        <v>500</v>
      </c>
      <c r="C16" s="9">
        <v>750</v>
      </c>
      <c r="D16" s="9">
        <v>1000</v>
      </c>
      <c r="E16" s="9">
        <v>1200</v>
      </c>
      <c r="F16" s="9">
        <v>1500</v>
      </c>
      <c r="G16" s="9">
        <v>1500</v>
      </c>
      <c r="H16" s="9">
        <v>1500</v>
      </c>
      <c r="I16" s="9">
        <v>2000</v>
      </c>
      <c r="J16" s="9">
        <v>2000</v>
      </c>
      <c r="K16" s="9">
        <v>2000</v>
      </c>
      <c r="L16" s="9">
        <v>3000</v>
      </c>
      <c r="M16" s="9">
        <v>3000</v>
      </c>
      <c r="N16" s="10">
        <f>SUM(B16:M16)</f>
        <v>19950</v>
      </c>
    </row>
    <row r="17" spans="1:14" x14ac:dyDescent="0.2">
      <c r="A17" s="11" t="s">
        <v>28</v>
      </c>
      <c r="B17" s="12">
        <v>4000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>
        <f>SUM(B17:M17)</f>
        <v>4000</v>
      </c>
    </row>
    <row r="18" spans="1:14" x14ac:dyDescent="0.2">
      <c r="A18" s="16" t="s">
        <v>29</v>
      </c>
      <c r="B18" s="17">
        <f t="shared" ref="B18:M18" si="1">B9+B11+B12+B13+B14+B16+B17</f>
        <v>18450</v>
      </c>
      <c r="C18" s="17">
        <f t="shared" si="1"/>
        <v>25000</v>
      </c>
      <c r="D18" s="17">
        <f t="shared" si="1"/>
        <v>29750</v>
      </c>
      <c r="E18" s="17">
        <f t="shared" si="1"/>
        <v>36450</v>
      </c>
      <c r="F18" s="17">
        <f t="shared" si="1"/>
        <v>39750</v>
      </c>
      <c r="G18" s="17">
        <f t="shared" si="1"/>
        <v>43250</v>
      </c>
      <c r="H18" s="17">
        <f t="shared" si="1"/>
        <v>45250</v>
      </c>
      <c r="I18" s="17">
        <f t="shared" si="1"/>
        <v>47750</v>
      </c>
      <c r="J18" s="17">
        <f t="shared" si="1"/>
        <v>50750</v>
      </c>
      <c r="K18" s="17">
        <f t="shared" si="1"/>
        <v>52750</v>
      </c>
      <c r="L18" s="17">
        <f t="shared" si="1"/>
        <v>56750</v>
      </c>
      <c r="M18" s="17">
        <f t="shared" si="1"/>
        <v>57750</v>
      </c>
      <c r="N18" s="17">
        <f>SUM(B18:M18)</f>
        <v>503650</v>
      </c>
    </row>
    <row r="19" spans="1:14" x14ac:dyDescent="0.2">
      <c r="A19" s="6" t="s">
        <v>30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">
      <c r="A20" s="8" t="s">
        <v>31</v>
      </c>
      <c r="B20" s="9">
        <v>15000</v>
      </c>
      <c r="C20" s="9">
        <v>25000</v>
      </c>
      <c r="D20" s="9">
        <v>40000</v>
      </c>
      <c r="E20" s="9">
        <v>60000</v>
      </c>
      <c r="F20" s="9">
        <v>70000</v>
      </c>
      <c r="G20" s="9">
        <v>80000</v>
      </c>
      <c r="H20" s="9">
        <v>88000</v>
      </c>
      <c r="I20" s="9">
        <v>95000</v>
      </c>
      <c r="J20" s="9">
        <v>101000</v>
      </c>
      <c r="K20" s="9">
        <v>106000</v>
      </c>
      <c r="L20" s="9">
        <v>111000</v>
      </c>
      <c r="M20" s="9">
        <v>115000</v>
      </c>
      <c r="N20" s="10">
        <f>SUM(B20:M20)</f>
        <v>906000</v>
      </c>
    </row>
    <row r="21" spans="1:14" x14ac:dyDescent="0.2">
      <c r="A21" s="11" t="s">
        <v>32</v>
      </c>
      <c r="B21" s="18">
        <f t="shared" ref="B21:N21" si="2">IF(B9=0,"",B20/B9)</f>
        <v>4.0540540540540544</v>
      </c>
      <c r="C21" s="18">
        <f t="shared" si="2"/>
        <v>1.7857142857142858</v>
      </c>
      <c r="D21" s="18">
        <f t="shared" si="2"/>
        <v>2.2857142857142856</v>
      </c>
      <c r="E21" s="18">
        <f t="shared" si="2"/>
        <v>2.7272727272727271</v>
      </c>
      <c r="F21" s="18">
        <f t="shared" si="2"/>
        <v>2.8</v>
      </c>
      <c r="G21" s="18">
        <f t="shared" si="2"/>
        <v>2.807017543859649</v>
      </c>
      <c r="H21" s="18">
        <f t="shared" si="2"/>
        <v>2.9333333333333331</v>
      </c>
      <c r="I21" s="18">
        <f t="shared" si="2"/>
        <v>2.96875</v>
      </c>
      <c r="J21" s="18">
        <f t="shared" si="2"/>
        <v>2.8857142857142857</v>
      </c>
      <c r="K21" s="18">
        <f t="shared" si="2"/>
        <v>2.8648648648648649</v>
      </c>
      <c r="L21" s="18">
        <f t="shared" si="2"/>
        <v>2.7749999999999999</v>
      </c>
      <c r="M21" s="18">
        <f t="shared" si="2"/>
        <v>2.8048780487804876</v>
      </c>
      <c r="N21" s="19">
        <f t="shared" si="2"/>
        <v>2.7817009517961315</v>
      </c>
    </row>
    <row r="23" spans="1:14" x14ac:dyDescent="0.2">
      <c r="A23" s="20" t="s">
        <v>33</v>
      </c>
    </row>
    <row r="24" spans="1:14" x14ac:dyDescent="0.2">
      <c r="A24" s="2" t="s">
        <v>34</v>
      </c>
    </row>
    <row r="25" spans="1:14" x14ac:dyDescent="0.2">
      <c r="A25" s="2" t="s">
        <v>35</v>
      </c>
    </row>
    <row r="26" spans="1:14" x14ac:dyDescent="0.2">
      <c r="A26" s="2" t="s">
        <v>36</v>
      </c>
    </row>
    <row r="27" spans="1:14" x14ac:dyDescent="0.2">
      <c r="A27" s="2" t="s">
        <v>37</v>
      </c>
    </row>
    <row r="28" spans="1:14" x14ac:dyDescent="0.2">
      <c r="A28" s="2" t="s">
        <v>38</v>
      </c>
    </row>
    <row r="29" spans="1:14" x14ac:dyDescent="0.2">
      <c r="A29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Simson</cp:lastModifiedBy>
  <dcterms:created xsi:type="dcterms:W3CDTF">2026-06-24T23:22:35Z</dcterms:created>
  <dcterms:modified xsi:type="dcterms:W3CDTF">2026-06-24T23:52:15Z</dcterms:modified>
</cp:coreProperties>
</file>